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9630" windowHeight="2540" tabRatio="500" activeTab="2"/>
  </bookViews>
  <sheets>
    <sheet name="Huong_Dan" sheetId="1" r:id="rId1"/>
    <sheet name="Test_ChuanHoa" sheetId="2" r:id="rId2"/>
    <sheet name="Test_PhanLoai" sheetId="3" r:id="rId3"/>
    <sheet name="Tong_Hop" sheetId="4" r:id="rId4"/>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1" i="4" l="1"/>
  <c r="B19" i="4"/>
  <c r="B18" i="4"/>
  <c r="B15" i="4"/>
  <c r="B14" i="4"/>
  <c r="B11" i="4"/>
  <c r="B7" i="4"/>
  <c r="B6" i="4"/>
  <c r="G26" i="3"/>
  <c r="G25" i="3"/>
  <c r="G24" i="3"/>
  <c r="G23" i="3"/>
  <c r="G22" i="3"/>
  <c r="G21" i="3"/>
  <c r="G20" i="3"/>
  <c r="G19" i="3"/>
  <c r="G18" i="3"/>
  <c r="G17" i="3"/>
  <c r="G16" i="3"/>
  <c r="G15" i="3"/>
  <c r="B20" i="4" s="1"/>
  <c r="G14" i="3"/>
  <c r="G13" i="3"/>
  <c r="G12" i="3"/>
  <c r="G11" i="3"/>
  <c r="G10" i="3"/>
  <c r="G9" i="3"/>
  <c r="G8" i="3"/>
  <c r="G7" i="3"/>
  <c r="G6" i="3"/>
  <c r="G5" i="3"/>
  <c r="G4" i="3"/>
  <c r="G3" i="3"/>
  <c r="G2" i="3"/>
  <c r="B17" i="4" s="1"/>
  <c r="E21" i="2"/>
  <c r="E20" i="2"/>
  <c r="E19" i="2"/>
  <c r="E18" i="2"/>
  <c r="E17" i="2"/>
  <c r="B10" i="4" s="1"/>
  <c r="E16" i="2"/>
  <c r="E15" i="2"/>
  <c r="E14" i="2"/>
  <c r="E13" i="2"/>
  <c r="E12" i="2"/>
  <c r="E11" i="2"/>
  <c r="E10" i="2"/>
  <c r="E9" i="2"/>
  <c r="E8" i="2"/>
  <c r="E7" i="2"/>
  <c r="E6" i="2"/>
  <c r="E5" i="2"/>
  <c r="E4" i="2"/>
  <c r="E3" i="2"/>
  <c r="E2" i="2"/>
  <c r="B9" i="4" s="1"/>
  <c r="B8" i="4" l="1"/>
  <c r="B16" i="4"/>
</calcChain>
</file>

<file path=xl/sharedStrings.xml><?xml version="1.0" encoding="utf-8"?>
<sst xmlns="http://schemas.openxmlformats.org/spreadsheetml/2006/main" count="232" uniqueCount="163">
  <si>
    <t>BỘ TEST NHỎ - KIỂM THỬ CHUẨN HÓA PHƯƠNG NGỮ &amp; PHÂN LOẠI MỨC KHẨN CẤP</t>
  </si>
  <si>
    <t>Dùng cho đề tài: Nền tảng hỗ trợ điều phối cứu trợ lũ lụt tại miền Trung dựa trên AI NLP (FloodAid)</t>
  </si>
  <si>
    <t>MỤC ĐÍCH</t>
  </si>
  <si>
    <t>File này giúp bạn thu được SỐ LIỆU ĐỊNH LƯỢNG (tỷ lệ đúng/sai) để bổ sung vào mục 4.2.5 hoặc thêm một mục "Đánh giá kết quả" trong khóa luận - phần mà báo cáo hiện đang thiếu và nhiều khả năng sẽ bị hỏi khi bảo vệ.</t>
  </si>
  <si>
    <t>CÁCH DÙNG</t>
  </si>
  <si>
    <t>1. Sheet 'Test_ChuanHoa': đưa từng câu ở cột B vào ứng dụng (qua ô nhập SOS bằng văn bản, đóng vai giọng miền Trung đã được ASR phiên âm) hoặc gọi trực tiếp hàm normalize() nếu bạn test bằng code/unit test. Dán kết quả hệ thống trả về vào cột D (ô màu vàng).</t>
  </si>
  <si>
    <t>2. Sheet 'Test_PhanLoai': đưa nội dung cột B vào hàm phân loại mức khẩn cấp (runUrgencyClassification / runRuleBasedFallback). Điền mức khẩn cấp hệ thống trả về vào cột E, và nhãn (tags) trả về vào cột F. Ở cột H, tự đánh giá nhãn: ghi 'Đúng' nếu khớp hoàn toàn với cột D, 'Thiếu' nếu bỏ sót nhãn, 'Dư' nếu ra thừa nhãn, 'Sai' nếu sai hẳn.</t>
  </si>
  <si>
    <t>3. Sheet 'Tong_Hop' tự tính % chính xác theo công thức - không cần sửa tay, chỉ cần điền xong hai sheet trên.</t>
  </si>
  <si>
    <t>4. Cột 'Loại kiểm thử' đánh dấu 'Chuẩn' là ca thường, 'Biên/Rủi ro' là ca cố tình chọn để lộ điểm yếu đã biết của thiết kế rule-based (phủ định, khớp cụm từ chính xác, từ đa nghĩa...). Nên giữ lại cả hai loại khi báo cáo kết quả, vì phần 'Biên/Rủi ro' chính là bằng chứng cho thấy bạn hiểu rõ hạn chế hệ thống - giám khảo đánh giá cao điều này hơn là một bộ test toàn câu dễ.</t>
  </si>
  <si>
    <t>VỀ ĐỘ TIN CẬY CỦA 'KẾT QUẢ MONG ĐỢI'</t>
  </si>
  <si>
    <t>Cột 'Kết quả / mức khẩn cấp / nhãn mong đợi' được suy ra thủ công từ đúng các bảng luật/từ khóa đã công bố trong khóa luận (Bảng 4.1, 4.2, 4.3, 4.4). Đây KHÔNG phải kết quả chạy thật từ hệ thống của bạn - chỉ là kỳ vọng lý thuyết dựa trên logic đã mô tả. Nếu hệ thống thực tế cho kết quả khác, đó có thể là do (a) cách khớp cụm từ/khoảng trắng trong code khác với suy luận ở đây, hoặc (b) đúng là hệ thống có lỗi/hạn chế - cả hai đều là phát hiện đáng ghi vào báo cáo.</t>
  </si>
  <si>
    <t>GỢI Ý VIẾT VÀO BÁO CÁO</t>
  </si>
  <si>
    <t>"Để đánh giá sơ bộ, đề tài xây dựng bộ 20 câu kiểm thử chuẩn hóa phương ngữ và 25 câu kiểm thử phân loại mức khẩn cấp (bao gồm cả các ca biên nhằm bộc lộ hạn chế của phương pháp dò từ khóa). Kết quả: chuẩn hóa đúng X/20 câu (Y%), phân loại đúng mức khẩn cấp Z/25 câu (W%). Các ca sai chủ yếu rơi vào nhóm câu có yếu tố phủ định hoặc cách diễn đạt tự nhiên không khớp nguyên văn từ khóa đã liệt kê ở Bảng 4.3/4.4 - đây là hạn chế cố hữu của phương pháp rule-based, được đề tài ghi nhận ở mục 5.2/5.3." - đoạn này bạn có thể chỉnh sửa theo số liệu thật.</t>
  </si>
  <si>
    <t>STT</t>
  </si>
  <si>
    <t>Câu đầu vào (giả lập giọng miền Trung / ASR)</t>
  </si>
  <si>
    <t>Kết quả mong đợi
(suy từ Bảng 4.1 / 4.2)</t>
  </si>
  <si>
    <t>Kết quả thực tế
(điền sau khi test)</t>
  </si>
  <si>
    <t>Khớp?</t>
  </si>
  <si>
    <t>Loại kiểm thử</t>
  </si>
  <si>
    <t>Ghi chú</t>
  </si>
  <si>
    <t>Nhoà tôi bị ngập rồi</t>
  </si>
  <si>
    <t>Nhà tôi bị ngập rồi</t>
  </si>
  <si>
    <t>Chuẩn</t>
  </si>
  <si>
    <t>Luật à→oà (Bảng 4.1)</t>
  </si>
  <si>
    <t>Tui đang lồm gì đây</t>
  </si>
  <si>
    <t>Tui đang làm gì đây</t>
  </si>
  <si>
    <t>Luật am→ôm</t>
  </si>
  <si>
    <t>Mớ nhoà tôi bị sập</t>
  </si>
  <si>
    <t>Mái nhà tôi bị sập</t>
  </si>
  <si>
    <t>Từ vựng cụm 2 từ (Bảng 4.2)</t>
  </si>
  <si>
    <t>Chu cha ơi cứu tôi với</t>
  </si>
  <si>
    <t>Ôi trời ơi cứu tôi với</t>
  </si>
  <si>
    <t>Từ vựng cụm 2 từ</t>
  </si>
  <si>
    <t>Con gớ tôi đang mắc kẹt</t>
  </si>
  <si>
    <t>Con gái tôi đang mắc kẹt</t>
  </si>
  <si>
    <t>Răng không ai tới cứu</t>
  </si>
  <si>
    <t>Sao không ai tới cứu</t>
  </si>
  <si>
    <t>Từ vựng đơn</t>
  </si>
  <si>
    <t>Rứa thì tôi phải làm sao</t>
  </si>
  <si>
    <t>Thế thì tôi phải làm sao</t>
  </si>
  <si>
    <t>Nước ở mô rồi</t>
  </si>
  <si>
    <t>Nước ở đâu rồi</t>
  </si>
  <si>
    <t>Nhà tê bị ngập</t>
  </si>
  <si>
    <t>Nhà kia bị ngập</t>
  </si>
  <si>
    <t>Tau đang ở trên mái nhà</t>
  </si>
  <si>
    <t>Tao đang ở trên mái nhà</t>
  </si>
  <si>
    <t>Mi gọi cứu hộ chưa</t>
  </si>
  <si>
    <t>Mày gọi cứu hộ chưa</t>
  </si>
  <si>
    <t>Chừ nước lên nhanh lắm</t>
  </si>
  <si>
    <t>Giờ nước lên nhanh lắm</t>
  </si>
  <si>
    <t>Chẹn đường rồi không đi được</t>
  </si>
  <si>
    <t>Chặn đường rồi không đi được</t>
  </si>
  <si>
    <t>Luật ăn→en</t>
  </si>
  <si>
    <t>Dô nhà đi</t>
  </si>
  <si>
    <t>Vô nhà đi</t>
  </si>
  <si>
    <t>Luật v→d</t>
  </si>
  <si>
    <t>Chu cha, nhoà tôi ngập tới mái rồi, mi gọi giúp tôi với</t>
  </si>
  <si>
    <t>Ôi trời, nhà tôi ngập tới mái rồi, mày gọi giúp tôi với</t>
  </si>
  <si>
    <t>Kết hợp nhiều luật/từ trong 1 câu</t>
  </si>
  <si>
    <t>Tôi cần cứu hộ gấp</t>
  </si>
  <si>
    <t>Tôi cần cứu hộ gấp (không đổi)</t>
  </si>
  <si>
    <t>Biên/Rủi ro</t>
  </si>
  <si>
    <t>Câu đã chuẩn - kiểm tra bộ chuẩn hóa có SỬA NHẦM từ đúng hay không</t>
  </si>
  <si>
    <t>Con tôi học hòa nhạc ở trường</t>
  </si>
  <si>
    <t>Con tôi học hòa nhạc ở trường (không đổi)</t>
  </si>
  <si>
    <t>"hòa" nằm trong blacklist (chống trùng với luật à→oà) - kiểm tra blacklist có hoạt động đúng</t>
  </si>
  <si>
    <t>Chân tôi bị tê, không đi lại được</t>
  </si>
  <si>
    <t>Chân tôi bị tê, không đi lại được (không đổi mong muốn)</t>
  </si>
  <si>
    <t>"tê" vừa là phương ngữ ('kia') vừa là từ chuẩn (tê = mất cảm giác) - rủi ro thay nhầm nghĩa, nên nêu rõ trong báo cáo nếu sai</t>
  </si>
  <si>
    <t>Răng rứa, mô tê chi mà không ai trả lời</t>
  </si>
  <si>
    <t>Sao thế, đâu kia chi mà không ai trả lời (dự đoán)</t>
  </si>
  <si>
    <t>"chi" (= gì) không có trong Bảng 4.2 → dự đoán KHÔNG được chuẩn hóa, bộc lộ khoảng trống từ vựng</t>
  </si>
  <si>
    <t>Nhoà Tôi Ở Đường Nguyễn Huệ</t>
  </si>
  <si>
    <t>Nhà Tôi Ở Đường Nguyễn Huệ</t>
  </si>
  <si>
    <t>Kiểm tra hàm _preserveCase giữ đúng chữ hoa đầu câu/tên riêng</t>
  </si>
  <si>
    <t>Nội dung tin nhắn (đã chuẩn hóa)</t>
  </si>
  <si>
    <t>Mức khẩn cấp
mong đợi
(1-5)</t>
  </si>
  <si>
    <t>Nhãn mong đợi
(theo Bảng 4.4)</t>
  </si>
  <si>
    <t>Mức khẩn cấp
thực tế</t>
  </si>
  <si>
    <t>Nhãn thực tế</t>
  </si>
  <si>
    <t>Khớp mức
khẩn cấp?</t>
  </si>
  <si>
    <t>Khớp nhãn?
(điền: Đúng/Thiếu/Dư/Sai)</t>
  </si>
  <si>
    <t>Có người bị chảy máu nhiều cần cấp cứu gấp</t>
  </si>
  <si>
    <t>y_te</t>
  </si>
  <si>
    <t>"máu" (mức 5) + "cấp cứu" (y_te)</t>
  </si>
  <si>
    <t>Bà tôi bị bất tỉnh trong nhà</t>
  </si>
  <si>
    <t>y_te, nguoi_gia</t>
  </si>
  <si>
    <t>"bất tỉnh" (mức 5) + "bà"</t>
  </si>
  <si>
    <t>Có em bé bị ngập nóc nhà không thoát được</t>
  </si>
  <si>
    <t>tre_em, ngap_noc</t>
  </si>
  <si>
    <t>max(4 em bé/ngập nóc, 3 không thoát được)=4</t>
  </si>
  <si>
    <t>Nước dâng cao, cả nhà mắc kẹt, không có phương tiện di chuyển</t>
  </si>
  <si>
    <t>phuong_tien</t>
  </si>
  <si>
    <t>"nước dâng", "mắc kẹt" (mức 3)</t>
  </si>
  <si>
    <t>Nhà tôi ngập, cần xuồng tới đón</t>
  </si>
  <si>
    <t>"ngập" (mức 2) + "cần xuồng"</t>
  </si>
  <si>
    <t>Gia đình tôi bị cô lập nhiều ngày chưa có ai tới</t>
  </si>
  <si>
    <t>(không có)</t>
  </si>
  <si>
    <t>"cô lập" (mức 3)</t>
  </si>
  <si>
    <t>Ông tôi 80 tuổi bị gãy chân đang rất đau</t>
  </si>
  <si>
    <t>"gãy" (mức 4, y_te) + "ông"</t>
  </si>
  <si>
    <t>Con tôi bị đuối nước, không thở được</t>
  </si>
  <si>
    <t>"đuối nước", "không thở" (mức 5)</t>
  </si>
  <si>
    <t>Nước lên nhanh, cần hỗ trợ gấp</t>
  </si>
  <si>
    <t>"nước lên", "cần hỗ trợ" (mức 2)</t>
  </si>
  <si>
    <t>Xin chào, tôi muốn hỏi thông tin về đội cứu hộ</t>
  </si>
  <si>
    <t>Không khớp từ khóa nào → mặc định</t>
  </si>
  <si>
    <t>Xe tôi bị hư, tôi cần ghe để di chuyển qua vùng ngập</t>
  </si>
  <si>
    <t>"ngập" (mức 2) + "cần ghe"</t>
  </si>
  <si>
    <t>Nước ngập sâu, cần xuồng gấp, có bà cụ cao tuổi bị mắc kẹt</t>
  </si>
  <si>
    <t>phuong_tien, nguoi_gia</t>
  </si>
  <si>
    <t>"ngập sâu"/"mắc kẹt" (mức 3)</t>
  </si>
  <si>
    <t>Người già và trẻ em bị mắc kẹt trên mái nhà, có người chảy máu</t>
  </si>
  <si>
    <t>nguoi_gia, tre_em, y_te</t>
  </si>
  <si>
    <t>"máu" (mức 5) đè lên "mái nhà" (mức 4) - kiểm tra quy tắc lấy MAX</t>
  </si>
  <si>
    <t>cứu</t>
  </si>
  <si>
    <t>?</t>
  </si>
  <si>
    <t>Chỉ 1 từ, không khớp "cấp cứu" nguyên cụm → dự đoán mức 1 (mặc định). Kiểm tra xử lý input siêu ngắn</t>
  </si>
  <si>
    <t>Nhà tôi. Có trẻ em. Nước đã ngập tới mái.</t>
  </si>
  <si>
    <t>"ngập tới mái" khớp Bảng 4.4 (tag ngap_noc) nhưng KHÔNG khớp nguyên văn Bảng 4.3 (chỉ có "ngập nóc"/"mái nhà") → mức khẩn cấp có thể chỉ lên do "trẻ em" (4), không phải do ngập. Kiểm tra độ lệch giữa 2 bảng từ khóa</t>
  </si>
  <si>
    <t>Nhà sập, không ai bị thương nhưng cần chỗ ở tạm</t>
  </si>
  <si>
    <t>PHỦ ĐỊNH: câu nói KHÔNG ai bị thương, nhưng cụm "bị thương" vẫn nằm trong câu → dự đoán hệ thống rule-based sẽ BÁO NHẦM mức 4 + tag y_te dù thực tế an toàn</t>
  </si>
  <si>
    <t>Không có ai chết nhưng nhà ngập nóc</t>
  </si>
  <si>
    <t>ngap_noc</t>
  </si>
  <si>
    <t>PHỦ ĐỊNH tương tự: chữ "chết" (mức 5) xuất hiện trong câu phủ định → dự đoán hệ thống báo nhầm mức 5 thay vì mức thực tế (4, do ngập nóc)</t>
  </si>
  <si>
    <t>Cả nhà an toàn, không cần hỗ trợ gì thêm</t>
  </si>
  <si>
    <t>PHỦ ĐỊNH: "cần hỗ trợ" là từ khóa mức 2, nhưng câu là "KHÔNG cần hỗ trợ" → dự đoán hệ thống báo nhầm mức 2</t>
  </si>
  <si>
    <t>Trẻ em trong nhà đang ổn, chỉ cần thêm lương thực</t>
  </si>
  <si>
    <t>tre_em</t>
  </si>
  <si>
    <t>Câu an toàn nhưng có từ "trẻ em" → tag tre_em vẫn bật (đúng theo thiết kế vì tag chỉ báo SỰ HIỆN DIỆN, không phải nguy hiểm) nhưng cần kiểm tra mức khẩn cấp có bị đội lên nhầm hay không ("trẻ em" cũng là từ khóa mức 4 trong Bảng 4.3)</t>
  </si>
  <si>
    <t>Alo cứu tôi với, nhà tôi ở xã ngập tới nóc rồi, trong nhà có mẹ già 70 tuổi với 2 đứa nhỏ, không có ghe không ra được, nước dâng nhanh lắm</t>
  </si>
  <si>
    <t>(nguoi_gia và tre_em dự đoán BỊ BỎ SÓT)</t>
  </si>
  <si>
    <t>Diễn đạt tự nhiên: "mẹ già" không khớp nguyên cụm "người già/ông/bà/cụ/cao tuổi"; "2 đứa nhỏ" không khớp "trẻ em/em bé/con nít/trẻ con/con nhỏ"; "không có ghe" không khớp nguyên cụm "cần ghe/không có phương tiện" → đây là ca quan trọng nhất để đo tỉ lệ bỏ sót do cách diễn đạt tự nhiên khác với từ khóa liệt kê sẵn</t>
  </si>
  <si>
    <t>Nước ngập tới nóc nhà, có người bất tỉnh</t>
  </si>
  <si>
    <t>"ngập tới nóc" khác nguyên văn "ngập nóc" trong Bảng 4.3 - kiểm tra matcher có xử lý biến thể cụm từ hay khớp cứng</t>
  </si>
  <si>
    <t>Ba tôi tuy đã lớn tuổi nhưng vẫn khỏe, không cần giúp gì cả</t>
  </si>
  <si>
    <t>(không có, dự đoán nguoi_gia có thể bị bỏ vì 'lớn tuổi' ≠ 'cao tuổi')</t>
  </si>
  <si>
    <t>"lớn tuổi" không khớp nguyên cụm "cao tuổi" trong Bảng 4.4 → kiểm tra độ phủ từ đồng nghĩa</t>
  </si>
  <si>
    <t>Nhà tôi ở gần sông, hiện nước chưa lên, chỉ hỏi thông tin phòng ngừa</t>
  </si>
  <si>
    <t>Câu hỏi thông tin thuần túy, không có yếu tố khẩn cấp thật - kiểm tra hệ thống không báo động giả</t>
  </si>
  <si>
    <t>Cấp cứu! Chồng tôi gãy tay, chảy máu nhiều, đang bất tỉnh, nhà ngập tới mái, có 2 con nhỏ</t>
  </si>
  <si>
    <t>y_te, ngap_noc, tre_em</t>
  </si>
  <si>
    <t>Ca đa yếu tố - kiểm tra hệ thống gộp đủ mọi nhãn khi câu dài, nhiều thông tin</t>
  </si>
  <si>
    <t>Mưa to gió lớn nhưng nhà tôi vẫn ổn, chỉ hơi lo lắng thôi</t>
  </si>
  <si>
    <t>Câu bày tỏ cảm xúc, không có yêu cầu cứu trợ cụ thể - kiểm tra không báo động nhầm</t>
  </si>
  <si>
    <t>TỔNG HỢP KẾT QUẢ KIỂM THỬ</t>
  </si>
  <si>
    <t>Bảng này tự tính - chỉ cần điền xong 2 sheet Test_ChuanHoa và Test_PhanLoai</t>
  </si>
  <si>
    <t>CHUẨN HÓA PHƯƠNG NGỮ</t>
  </si>
  <si>
    <t>Tổng số câu test</t>
  </si>
  <si>
    <t>Số câu đã điền kết quả thực tế</t>
  </si>
  <si>
    <t>Số câu khớp (Đúng)</t>
  </si>
  <si>
    <t>Tỷ lệ chính xác (trên số đã điền)</t>
  </si>
  <si>
    <t>% - đưa vào mục 4.2.5</t>
  </si>
  <si>
    <t xml:space="preserve">  - trong đó, số ca 'Biên/Rủi ro' khớp</t>
  </si>
  <si>
    <t xml:space="preserve">  - trong đó, số ca 'Biên/Rủi ro' tổng cộng</t>
  </si>
  <si>
    <t>PHÂN LOẠI MỨC KHẨN CẤP</t>
  </si>
  <si>
    <t>Số câu đã điền mức khẩn cấp thực tế</t>
  </si>
  <si>
    <t>Số câu khớp đúng MỨC khẩn cấp</t>
  </si>
  <si>
    <t>Tỷ lệ chính xác mức khẩn cấp (trên số đã điền)</t>
  </si>
  <si>
    <t>Số câu khớp đúng NHÃN (điền tay ở cột H)</t>
  </si>
  <si>
    <t>Tỷ lệ chính xác nhãn (trên số đã điền)</t>
  </si>
  <si>
    <t>%</t>
  </si>
  <si>
    <t xml:space="preserve">  - trong đó, số ca 'Biên/Rủi ro' khớp mức khẩn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</si>
</sst>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1"/>
      <color theme="1"/>
      <name val="Calibri"/>
      <family val="2"/>
      <charset val="1"/>
    </font>
    <font>
      <b/>
      <sz val="13"/>
      <name val="Arial"/>
      <charset val="1"/>
    </font>
    <font>
      <i/>
      <sz val="10"/>
      <color rgb="FF7F7F7F"/>
      <name val="Arial"/>
      <charset val="1"/>
    </font>
    <font>
      <b/>
      <sz val="11"/>
      <name val="Arial"/>
      <charset val="1"/>
    </font>
    <font>
      <sz val="10"/>
      <name val="Arial"/>
      <charset val="1"/>
    </font>
    <font>
      <b/>
      <sz val="10"/>
      <color rgb="FFFFFFFF"/>
      <name val="Arial"/>
      <charset val="1"/>
    </font>
    <font>
      <b/>
      <sz val="10"/>
      <name val="Arial"/>
      <charset val="1"/>
    </font>
  </fonts>
  <fills count="5">
    <fill>
      <patternFill patternType="none"/>
    </fill>
    <fill>
      <patternFill patternType="gray125"/>
    </fill>
    <fill>
      <patternFill patternType="solid">
        <fgColor rgb="FF2F5496"/>
        <bgColor rgb="FF666699"/>
      </patternFill>
    </fill>
    <fill>
      <patternFill patternType="solid">
        <fgColor rgb="FFFFF2CC"/>
        <bgColor rgb="FFF2F2F2"/>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3" borderId="1" xfId="0" applyFont="1" applyFill="1" applyBorder="1" applyAlignment="1">
      <alignment vertical="top"/>
    </xf>
    <xf numFmtId="0" fontId="1" fillId="0" borderId="0" xfId="0" applyFont="1"/>
    <xf numFmtId="0" fontId="2" fillId="0" borderId="0" xfId="0" applyFont="1"/>
    <xf numFmtId="0" fontId="3" fillId="4" borderId="0" xfId="0" applyFont="1" applyFill="1"/>
    <xf numFmtId="0" fontId="0" fillId="4" borderId="0" xfId="0" applyFill="1"/>
    <xf numFmtId="0" fontId="4" fillId="0" borderId="0" xfId="0" applyFont="1"/>
    <xf numFmtId="0" fontId="6" fillId="0" borderId="0" xfId="0" applyFont="1" applyAlignment="1">
      <alignment horizontal="center"/>
    </xf>
    <xf numFmtId="164" fontId="6" fillId="0" borderId="0" xfId="0" applyNumberFormat="1"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showGridLines="0" topLeftCell="A13" zoomScaleNormal="100" workbookViewId="0">
      <selection activeCell="A17" sqref="A17"/>
    </sheetView>
  </sheetViews>
  <sheetFormatPr defaultColWidth="8.6328125" defaultRowHeight="14.5" x14ac:dyDescent="0.35"/>
  <cols>
    <col min="1" max="1" width="100" customWidth="1"/>
  </cols>
  <sheetData>
    <row r="1" spans="1:1" ht="18" customHeight="1" x14ac:dyDescent="0.35">
      <c r="A1" s="1" t="s">
        <v>0</v>
      </c>
    </row>
    <row r="2" spans="1:1" ht="45" customHeight="1" x14ac:dyDescent="0.35">
      <c r="A2" s="2" t="s">
        <v>1</v>
      </c>
    </row>
    <row r="3" spans="1:1" ht="18" customHeight="1" x14ac:dyDescent="0.35">
      <c r="A3" s="3"/>
    </row>
    <row r="4" spans="1:1" ht="18" customHeight="1" x14ac:dyDescent="0.35">
      <c r="A4" s="4" t="s">
        <v>2</v>
      </c>
    </row>
    <row r="5" spans="1:1" ht="45" customHeight="1" x14ac:dyDescent="0.35">
      <c r="A5" s="5" t="s">
        <v>3</v>
      </c>
    </row>
    <row r="6" spans="1:1" ht="18" customHeight="1" x14ac:dyDescent="0.35">
      <c r="A6" s="3"/>
    </row>
    <row r="7" spans="1:1" ht="18" customHeight="1" x14ac:dyDescent="0.35">
      <c r="A7" s="4" t="s">
        <v>4</v>
      </c>
    </row>
    <row r="8" spans="1:1" ht="45" customHeight="1" x14ac:dyDescent="0.35">
      <c r="A8" s="5" t="s">
        <v>5</v>
      </c>
    </row>
    <row r="9" spans="1:1" ht="45" customHeight="1" x14ac:dyDescent="0.35">
      <c r="A9" s="5" t="s">
        <v>6</v>
      </c>
    </row>
    <row r="10" spans="1:1" ht="45" customHeight="1" x14ac:dyDescent="0.35">
      <c r="A10" s="5" t="s">
        <v>7</v>
      </c>
    </row>
    <row r="11" spans="1:1" ht="45" customHeight="1" x14ac:dyDescent="0.35">
      <c r="A11" s="5" t="s">
        <v>8</v>
      </c>
    </row>
    <row r="12" spans="1:1" ht="18" customHeight="1" x14ac:dyDescent="0.35">
      <c r="A12" s="3"/>
    </row>
    <row r="13" spans="1:1" ht="18" customHeight="1" x14ac:dyDescent="0.35">
      <c r="A13" s="4" t="s">
        <v>9</v>
      </c>
    </row>
    <row r="14" spans="1:1" ht="81.5" customHeight="1" x14ac:dyDescent="0.35">
      <c r="A14" s="5" t="s">
        <v>10</v>
      </c>
    </row>
    <row r="15" spans="1:1" ht="18" customHeight="1" x14ac:dyDescent="0.35">
      <c r="A15" s="3"/>
    </row>
    <row r="16" spans="1:1" ht="18" customHeight="1" x14ac:dyDescent="0.35">
      <c r="A16" s="4" t="s">
        <v>11</v>
      </c>
    </row>
    <row r="17" spans="1:1" ht="97.5" customHeight="1" x14ac:dyDescent="0.35">
      <c r="A17" s="5" t="s">
        <v>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zoomScaleNormal="100" workbookViewId="0">
      <pane ySplit="1" topLeftCell="A17" activePane="bottomLeft" state="frozen"/>
      <selection pane="bottomLeft" activeCell="C21" sqref="C21"/>
    </sheetView>
  </sheetViews>
  <sheetFormatPr defaultColWidth="8.6328125" defaultRowHeight="14.5" x14ac:dyDescent="0.35"/>
  <cols>
    <col min="1" max="1" width="5" customWidth="1"/>
    <col min="2" max="2" width="34" customWidth="1"/>
    <col min="3" max="4" width="30" customWidth="1"/>
    <col min="5" max="5" width="9" customWidth="1"/>
    <col min="6" max="6" width="13" customWidth="1"/>
    <col min="7" max="7" width="42" customWidth="1"/>
  </cols>
  <sheetData>
    <row r="1" spans="1:7" ht="42" customHeight="1" x14ac:dyDescent="0.35">
      <c r="A1" s="6" t="s">
        <v>13</v>
      </c>
      <c r="B1" s="6" t="s">
        <v>14</v>
      </c>
      <c r="C1" s="6" t="s">
        <v>15</v>
      </c>
      <c r="D1" s="6" t="s">
        <v>16</v>
      </c>
      <c r="E1" s="6" t="s">
        <v>17</v>
      </c>
      <c r="F1" s="6" t="s">
        <v>18</v>
      </c>
      <c r="G1" s="6" t="s">
        <v>19</v>
      </c>
    </row>
    <row r="2" spans="1:7" ht="33.75" customHeight="1" x14ac:dyDescent="0.35">
      <c r="A2" s="7">
        <v>1</v>
      </c>
      <c r="B2" s="8" t="s">
        <v>20</v>
      </c>
      <c r="C2" s="8" t="s">
        <v>21</v>
      </c>
      <c r="D2" s="9"/>
      <c r="E2" s="7" t="str">
        <f t="shared" ref="E2:E21" si="0">IF(D2="","",IF(D2=C2,"Đúng","Sai"))</f>
        <v/>
      </c>
      <c r="F2" s="7" t="s">
        <v>22</v>
      </c>
      <c r="G2" s="8" t="s">
        <v>23</v>
      </c>
    </row>
    <row r="3" spans="1:7" ht="33.75" customHeight="1" x14ac:dyDescent="0.35">
      <c r="A3" s="7">
        <v>2</v>
      </c>
      <c r="B3" s="8" t="s">
        <v>24</v>
      </c>
      <c r="C3" s="8" t="s">
        <v>25</v>
      </c>
      <c r="D3" s="9"/>
      <c r="E3" s="7" t="str">
        <f t="shared" si="0"/>
        <v/>
      </c>
      <c r="F3" s="7" t="s">
        <v>22</v>
      </c>
      <c r="G3" s="8" t="s">
        <v>26</v>
      </c>
    </row>
    <row r="4" spans="1:7" ht="33.75" customHeight="1" x14ac:dyDescent="0.35">
      <c r="A4" s="7">
        <v>3</v>
      </c>
      <c r="B4" s="8" t="s">
        <v>27</v>
      </c>
      <c r="C4" s="8" t="s">
        <v>28</v>
      </c>
      <c r="D4" s="9"/>
      <c r="E4" s="7" t="str">
        <f t="shared" si="0"/>
        <v/>
      </c>
      <c r="F4" s="7" t="s">
        <v>22</v>
      </c>
      <c r="G4" s="8" t="s">
        <v>29</v>
      </c>
    </row>
    <row r="5" spans="1:7" ht="33.75" customHeight="1" x14ac:dyDescent="0.35">
      <c r="A5" s="7">
        <v>4</v>
      </c>
      <c r="B5" s="8" t="s">
        <v>30</v>
      </c>
      <c r="C5" s="8" t="s">
        <v>31</v>
      </c>
      <c r="D5" s="9"/>
      <c r="E5" s="7" t="str">
        <f t="shared" si="0"/>
        <v/>
      </c>
      <c r="F5" s="7" t="s">
        <v>22</v>
      </c>
      <c r="G5" s="8" t="s">
        <v>32</v>
      </c>
    </row>
    <row r="6" spans="1:7" ht="33.75" customHeight="1" x14ac:dyDescent="0.35">
      <c r="A6" s="7">
        <v>5</v>
      </c>
      <c r="B6" s="8" t="s">
        <v>33</v>
      </c>
      <c r="C6" s="8" t="s">
        <v>34</v>
      </c>
      <c r="D6" s="9"/>
      <c r="E6" s="7" t="str">
        <f t="shared" si="0"/>
        <v/>
      </c>
      <c r="F6" s="7" t="s">
        <v>22</v>
      </c>
      <c r="G6" s="8" t="s">
        <v>32</v>
      </c>
    </row>
    <row r="7" spans="1:7" ht="33.75" customHeight="1" x14ac:dyDescent="0.35">
      <c r="A7" s="7">
        <v>6</v>
      </c>
      <c r="B7" s="8" t="s">
        <v>35</v>
      </c>
      <c r="C7" s="8" t="s">
        <v>36</v>
      </c>
      <c r="D7" s="9"/>
      <c r="E7" s="7" t="str">
        <f t="shared" si="0"/>
        <v/>
      </c>
      <c r="F7" s="7" t="s">
        <v>22</v>
      </c>
      <c r="G7" s="8" t="s">
        <v>37</v>
      </c>
    </row>
    <row r="8" spans="1:7" ht="33.75" customHeight="1" x14ac:dyDescent="0.35">
      <c r="A8" s="7">
        <v>7</v>
      </c>
      <c r="B8" s="8" t="s">
        <v>38</v>
      </c>
      <c r="C8" s="8" t="s">
        <v>39</v>
      </c>
      <c r="D8" s="9"/>
      <c r="E8" s="7" t="str">
        <f t="shared" si="0"/>
        <v/>
      </c>
      <c r="F8" s="7" t="s">
        <v>22</v>
      </c>
      <c r="G8" s="8" t="s">
        <v>37</v>
      </c>
    </row>
    <row r="9" spans="1:7" ht="33.75" customHeight="1" x14ac:dyDescent="0.35">
      <c r="A9" s="7">
        <v>8</v>
      </c>
      <c r="B9" s="8" t="s">
        <v>40</v>
      </c>
      <c r="C9" s="8" t="s">
        <v>41</v>
      </c>
      <c r="D9" s="9"/>
      <c r="E9" s="7" t="str">
        <f t="shared" si="0"/>
        <v/>
      </c>
      <c r="F9" s="7" t="s">
        <v>22</v>
      </c>
      <c r="G9" s="8" t="s">
        <v>37</v>
      </c>
    </row>
    <row r="10" spans="1:7" ht="33.75" customHeight="1" x14ac:dyDescent="0.35">
      <c r="A10" s="7">
        <v>9</v>
      </c>
      <c r="B10" s="8" t="s">
        <v>42</v>
      </c>
      <c r="C10" s="8" t="s">
        <v>43</v>
      </c>
      <c r="D10" s="9"/>
      <c r="E10" s="7" t="str">
        <f t="shared" si="0"/>
        <v/>
      </c>
      <c r="F10" s="7" t="s">
        <v>22</v>
      </c>
      <c r="G10" s="8" t="s">
        <v>37</v>
      </c>
    </row>
    <row r="11" spans="1:7" ht="33.75" customHeight="1" x14ac:dyDescent="0.35">
      <c r="A11" s="7">
        <v>10</v>
      </c>
      <c r="B11" s="8" t="s">
        <v>44</v>
      </c>
      <c r="C11" s="8" t="s">
        <v>45</v>
      </c>
      <c r="D11" s="9"/>
      <c r="E11" s="7" t="str">
        <f t="shared" si="0"/>
        <v/>
      </c>
      <c r="F11" s="7" t="s">
        <v>22</v>
      </c>
      <c r="G11" s="8" t="s">
        <v>37</v>
      </c>
    </row>
    <row r="12" spans="1:7" ht="33.75" customHeight="1" x14ac:dyDescent="0.35">
      <c r="A12" s="7">
        <v>11</v>
      </c>
      <c r="B12" s="8" t="s">
        <v>46</v>
      </c>
      <c r="C12" s="8" t="s">
        <v>47</v>
      </c>
      <c r="D12" s="9"/>
      <c r="E12" s="7" t="str">
        <f t="shared" si="0"/>
        <v/>
      </c>
      <c r="F12" s="7" t="s">
        <v>22</v>
      </c>
      <c r="G12" s="8" t="s">
        <v>37</v>
      </c>
    </row>
    <row r="13" spans="1:7" ht="33.75" customHeight="1" x14ac:dyDescent="0.35">
      <c r="A13" s="7">
        <v>12</v>
      </c>
      <c r="B13" s="8" t="s">
        <v>48</v>
      </c>
      <c r="C13" s="8" t="s">
        <v>49</v>
      </c>
      <c r="D13" s="9"/>
      <c r="E13" s="7" t="str">
        <f t="shared" si="0"/>
        <v/>
      </c>
      <c r="F13" s="7" t="s">
        <v>22</v>
      </c>
      <c r="G13" s="8" t="s">
        <v>37</v>
      </c>
    </row>
    <row r="14" spans="1:7" ht="33.75" customHeight="1" x14ac:dyDescent="0.35">
      <c r="A14" s="7">
        <v>13</v>
      </c>
      <c r="B14" s="8" t="s">
        <v>50</v>
      </c>
      <c r="C14" s="8" t="s">
        <v>51</v>
      </c>
      <c r="D14" s="9"/>
      <c r="E14" s="7" t="str">
        <f t="shared" si="0"/>
        <v/>
      </c>
      <c r="F14" s="7" t="s">
        <v>22</v>
      </c>
      <c r="G14" s="8" t="s">
        <v>52</v>
      </c>
    </row>
    <row r="15" spans="1:7" ht="33.75" customHeight="1" x14ac:dyDescent="0.35">
      <c r="A15" s="7">
        <v>14</v>
      </c>
      <c r="B15" s="8" t="s">
        <v>53</v>
      </c>
      <c r="C15" s="8" t="s">
        <v>54</v>
      </c>
      <c r="D15" s="9"/>
      <c r="E15" s="7" t="str">
        <f t="shared" si="0"/>
        <v/>
      </c>
      <c r="F15" s="7" t="s">
        <v>22</v>
      </c>
      <c r="G15" s="8" t="s">
        <v>55</v>
      </c>
    </row>
    <row r="16" spans="1:7" ht="33.75" customHeight="1" x14ac:dyDescent="0.35">
      <c r="A16" s="7">
        <v>15</v>
      </c>
      <c r="B16" s="8" t="s">
        <v>56</v>
      </c>
      <c r="C16" s="8" t="s">
        <v>57</v>
      </c>
      <c r="D16" s="9"/>
      <c r="E16" s="7" t="str">
        <f t="shared" si="0"/>
        <v/>
      </c>
      <c r="F16" s="7" t="s">
        <v>22</v>
      </c>
      <c r="G16" s="8" t="s">
        <v>58</v>
      </c>
    </row>
    <row r="17" spans="1:7" ht="33.75" customHeight="1" x14ac:dyDescent="0.35">
      <c r="A17" s="7">
        <v>16</v>
      </c>
      <c r="B17" s="8" t="s">
        <v>59</v>
      </c>
      <c r="C17" s="8" t="s">
        <v>60</v>
      </c>
      <c r="D17" s="9"/>
      <c r="E17" s="7" t="str">
        <f t="shared" si="0"/>
        <v/>
      </c>
      <c r="F17" s="7" t="s">
        <v>61</v>
      </c>
      <c r="G17" s="8" t="s">
        <v>62</v>
      </c>
    </row>
    <row r="18" spans="1:7" ht="33.75" customHeight="1" x14ac:dyDescent="0.35">
      <c r="A18" s="7">
        <v>17</v>
      </c>
      <c r="B18" s="8" t="s">
        <v>63</v>
      </c>
      <c r="C18" s="8" t="s">
        <v>64</v>
      </c>
      <c r="D18" s="9"/>
      <c r="E18" s="7" t="str">
        <f t="shared" si="0"/>
        <v/>
      </c>
      <c r="F18" s="7" t="s">
        <v>61</v>
      </c>
      <c r="G18" s="8" t="s">
        <v>65</v>
      </c>
    </row>
    <row r="19" spans="1:7" ht="33.75" customHeight="1" x14ac:dyDescent="0.35">
      <c r="A19" s="7">
        <v>18</v>
      </c>
      <c r="B19" s="8" t="s">
        <v>66</v>
      </c>
      <c r="C19" s="8" t="s">
        <v>67</v>
      </c>
      <c r="D19" s="9"/>
      <c r="E19" s="7" t="str">
        <f t="shared" si="0"/>
        <v/>
      </c>
      <c r="F19" s="7" t="s">
        <v>61</v>
      </c>
      <c r="G19" s="8" t="s">
        <v>68</v>
      </c>
    </row>
    <row r="20" spans="1:7" ht="33.75" customHeight="1" x14ac:dyDescent="0.35">
      <c r="A20" s="7">
        <v>19</v>
      </c>
      <c r="B20" s="8" t="s">
        <v>69</v>
      </c>
      <c r="C20" s="8" t="s">
        <v>70</v>
      </c>
      <c r="D20" s="9"/>
      <c r="E20" s="7" t="str">
        <f t="shared" si="0"/>
        <v/>
      </c>
      <c r="F20" s="7" t="s">
        <v>61</v>
      </c>
      <c r="G20" s="8" t="s">
        <v>71</v>
      </c>
    </row>
    <row r="21" spans="1:7" ht="33.75" customHeight="1" x14ac:dyDescent="0.35">
      <c r="A21" s="7">
        <v>20</v>
      </c>
      <c r="B21" s="8" t="s">
        <v>72</v>
      </c>
      <c r="C21" s="8" t="s">
        <v>73</v>
      </c>
      <c r="D21" s="9"/>
      <c r="E21" s="7" t="str">
        <f t="shared" si="0"/>
        <v/>
      </c>
      <c r="F21" s="7" t="s">
        <v>61</v>
      </c>
      <c r="G21" s="8" t="s">
        <v>74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tabSelected="1" zoomScaleNormal="100" workbookViewId="0">
      <pane ySplit="1" topLeftCell="A2" activePane="bottomLeft" state="frozen"/>
      <selection pane="bottomLeft" activeCell="C17" sqref="C17"/>
    </sheetView>
  </sheetViews>
  <sheetFormatPr defaultColWidth="8.6328125" defaultRowHeight="14.5" x14ac:dyDescent="0.35"/>
  <cols>
    <col min="1" max="1" width="5" customWidth="1"/>
    <col min="2" max="2" width="40" customWidth="1"/>
    <col min="3" max="3" width="11" customWidth="1"/>
    <col min="4" max="4" width="20" customWidth="1"/>
    <col min="5" max="5" width="11" customWidth="1"/>
    <col min="6" max="6" width="18" customWidth="1"/>
    <col min="7" max="7" width="10" customWidth="1"/>
    <col min="8" max="8" width="14" customWidth="1"/>
    <col min="9" max="9" width="13" customWidth="1"/>
    <col min="10" max="10" width="46" customWidth="1"/>
  </cols>
  <sheetData>
    <row r="1" spans="1:10" ht="48" customHeight="1" x14ac:dyDescent="0.35">
      <c r="A1" s="6" t="s">
        <v>13</v>
      </c>
      <c r="B1" s="6" t="s">
        <v>75</v>
      </c>
      <c r="C1" s="6" t="s">
        <v>76</v>
      </c>
      <c r="D1" s="6" t="s">
        <v>77</v>
      </c>
      <c r="E1" s="6" t="s">
        <v>78</v>
      </c>
      <c r="F1" s="6" t="s">
        <v>79</v>
      </c>
      <c r="G1" s="6" t="s">
        <v>80</v>
      </c>
      <c r="H1" s="6" t="s">
        <v>81</v>
      </c>
      <c r="I1" s="6" t="s">
        <v>18</v>
      </c>
      <c r="J1" s="6" t="s">
        <v>19</v>
      </c>
    </row>
    <row r="2" spans="1:10" ht="45.75" customHeight="1" x14ac:dyDescent="0.35">
      <c r="A2" s="7">
        <v>1</v>
      </c>
      <c r="B2" s="8" t="s">
        <v>82</v>
      </c>
      <c r="C2" s="7">
        <v>5</v>
      </c>
      <c r="D2" s="8" t="s">
        <v>83</v>
      </c>
      <c r="E2" s="10"/>
      <c r="F2" s="9"/>
      <c r="G2" s="7" t="str">
        <f t="shared" ref="G2:G26" si="0">IF(E2="","",IF(E2=C2,"Đúng","Sai"))</f>
        <v/>
      </c>
      <c r="H2" s="10"/>
      <c r="I2" s="7" t="s">
        <v>22</v>
      </c>
      <c r="J2" s="8" t="s">
        <v>84</v>
      </c>
    </row>
    <row r="3" spans="1:10" ht="45.75" customHeight="1" x14ac:dyDescent="0.35">
      <c r="A3" s="7">
        <v>2</v>
      </c>
      <c r="B3" s="8" t="s">
        <v>85</v>
      </c>
      <c r="C3" s="7">
        <v>5</v>
      </c>
      <c r="D3" s="8" t="s">
        <v>86</v>
      </c>
      <c r="E3" s="10"/>
      <c r="F3" s="9"/>
      <c r="G3" s="7" t="str">
        <f t="shared" si="0"/>
        <v/>
      </c>
      <c r="H3" s="10"/>
      <c r="I3" s="7" t="s">
        <v>22</v>
      </c>
      <c r="J3" s="8" t="s">
        <v>87</v>
      </c>
    </row>
    <row r="4" spans="1:10" ht="45.75" customHeight="1" x14ac:dyDescent="0.35">
      <c r="A4" s="7">
        <v>3</v>
      </c>
      <c r="B4" s="8" t="s">
        <v>88</v>
      </c>
      <c r="C4" s="7">
        <v>4</v>
      </c>
      <c r="D4" s="8" t="s">
        <v>89</v>
      </c>
      <c r="E4" s="10"/>
      <c r="F4" s="9"/>
      <c r="G4" s="7" t="str">
        <f t="shared" si="0"/>
        <v/>
      </c>
      <c r="H4" s="10"/>
      <c r="I4" s="7" t="s">
        <v>22</v>
      </c>
      <c r="J4" s="8" t="s">
        <v>90</v>
      </c>
    </row>
    <row r="5" spans="1:10" ht="45.75" customHeight="1" x14ac:dyDescent="0.35">
      <c r="A5" s="7">
        <v>4</v>
      </c>
      <c r="B5" s="8" t="s">
        <v>91</v>
      </c>
      <c r="C5" s="7">
        <v>3</v>
      </c>
      <c r="D5" s="8" t="s">
        <v>92</v>
      </c>
      <c r="E5" s="10"/>
      <c r="F5" s="9"/>
      <c r="G5" s="7" t="str">
        <f t="shared" si="0"/>
        <v/>
      </c>
      <c r="H5" s="10"/>
      <c r="I5" s="7" t="s">
        <v>22</v>
      </c>
      <c r="J5" s="8" t="s">
        <v>93</v>
      </c>
    </row>
    <row r="6" spans="1:10" ht="45.75" customHeight="1" x14ac:dyDescent="0.35">
      <c r="A6" s="7">
        <v>5</v>
      </c>
      <c r="B6" s="8" t="s">
        <v>94</v>
      </c>
      <c r="C6" s="7">
        <v>2</v>
      </c>
      <c r="D6" s="8" t="s">
        <v>92</v>
      </c>
      <c r="E6" s="10"/>
      <c r="F6" s="9"/>
      <c r="G6" s="7" t="str">
        <f t="shared" si="0"/>
        <v/>
      </c>
      <c r="H6" s="10"/>
      <c r="I6" s="7" t="s">
        <v>22</v>
      </c>
      <c r="J6" s="8" t="s">
        <v>95</v>
      </c>
    </row>
    <row r="7" spans="1:10" ht="45.75" customHeight="1" x14ac:dyDescent="0.35">
      <c r="A7" s="7">
        <v>6</v>
      </c>
      <c r="B7" s="8" t="s">
        <v>96</v>
      </c>
      <c r="C7" s="7">
        <v>3</v>
      </c>
      <c r="D7" s="8" t="s">
        <v>97</v>
      </c>
      <c r="E7" s="10"/>
      <c r="F7" s="9"/>
      <c r="G7" s="7" t="str">
        <f t="shared" si="0"/>
        <v/>
      </c>
      <c r="H7" s="10"/>
      <c r="I7" s="7" t="s">
        <v>22</v>
      </c>
      <c r="J7" s="8" t="s">
        <v>98</v>
      </c>
    </row>
    <row r="8" spans="1:10" ht="45.75" customHeight="1" x14ac:dyDescent="0.35">
      <c r="A8" s="7">
        <v>7</v>
      </c>
      <c r="B8" s="8" t="s">
        <v>99</v>
      </c>
      <c r="C8" s="7">
        <v>4</v>
      </c>
      <c r="D8" s="8" t="s">
        <v>86</v>
      </c>
      <c r="E8" s="10"/>
      <c r="F8" s="9"/>
      <c r="G8" s="7" t="str">
        <f t="shared" si="0"/>
        <v/>
      </c>
      <c r="H8" s="10"/>
      <c r="I8" s="7" t="s">
        <v>22</v>
      </c>
      <c r="J8" s="8" t="s">
        <v>100</v>
      </c>
    </row>
    <row r="9" spans="1:10" ht="45.75" customHeight="1" x14ac:dyDescent="0.35">
      <c r="A9" s="7">
        <v>8</v>
      </c>
      <c r="B9" s="8" t="s">
        <v>101</v>
      </c>
      <c r="C9" s="7">
        <v>5</v>
      </c>
      <c r="D9" s="8" t="s">
        <v>83</v>
      </c>
      <c r="E9" s="10"/>
      <c r="F9" s="9"/>
      <c r="G9" s="7" t="str">
        <f t="shared" si="0"/>
        <v/>
      </c>
      <c r="H9" s="10"/>
      <c r="I9" s="7" t="s">
        <v>22</v>
      </c>
      <c r="J9" s="8" t="s">
        <v>102</v>
      </c>
    </row>
    <row r="10" spans="1:10" ht="45.75" customHeight="1" x14ac:dyDescent="0.35">
      <c r="A10" s="7">
        <v>9</v>
      </c>
      <c r="B10" s="8" t="s">
        <v>103</v>
      </c>
      <c r="C10" s="7">
        <v>2</v>
      </c>
      <c r="D10" s="8" t="s">
        <v>97</v>
      </c>
      <c r="E10" s="10"/>
      <c r="F10" s="9"/>
      <c r="G10" s="7" t="str">
        <f t="shared" si="0"/>
        <v/>
      </c>
      <c r="H10" s="10"/>
      <c r="I10" s="7" t="s">
        <v>22</v>
      </c>
      <c r="J10" s="8" t="s">
        <v>104</v>
      </c>
    </row>
    <row r="11" spans="1:10" ht="45.75" customHeight="1" x14ac:dyDescent="0.35">
      <c r="A11" s="7">
        <v>10</v>
      </c>
      <c r="B11" s="8" t="s">
        <v>105</v>
      </c>
      <c r="C11" s="7">
        <v>1</v>
      </c>
      <c r="D11" s="8" t="s">
        <v>97</v>
      </c>
      <c r="E11" s="10"/>
      <c r="F11" s="9"/>
      <c r="G11" s="7" t="str">
        <f t="shared" si="0"/>
        <v/>
      </c>
      <c r="H11" s="10"/>
      <c r="I11" s="7" t="s">
        <v>22</v>
      </c>
      <c r="J11" s="8" t="s">
        <v>106</v>
      </c>
    </row>
    <row r="12" spans="1:10" ht="45.75" customHeight="1" x14ac:dyDescent="0.35">
      <c r="A12" s="7">
        <v>11</v>
      </c>
      <c r="B12" s="8" t="s">
        <v>107</v>
      </c>
      <c r="C12" s="7">
        <v>2</v>
      </c>
      <c r="D12" s="8" t="s">
        <v>92</v>
      </c>
      <c r="E12" s="10"/>
      <c r="F12" s="9"/>
      <c r="G12" s="7" t="str">
        <f t="shared" si="0"/>
        <v/>
      </c>
      <c r="H12" s="10"/>
      <c r="I12" s="7" t="s">
        <v>22</v>
      </c>
      <c r="J12" s="8" t="s">
        <v>108</v>
      </c>
    </row>
    <row r="13" spans="1:10" ht="45.75" customHeight="1" x14ac:dyDescent="0.35">
      <c r="A13" s="7">
        <v>12</v>
      </c>
      <c r="B13" s="8" t="s">
        <v>109</v>
      </c>
      <c r="C13" s="7">
        <v>3</v>
      </c>
      <c r="D13" s="8" t="s">
        <v>110</v>
      </c>
      <c r="E13" s="10"/>
      <c r="F13" s="9"/>
      <c r="G13" s="7" t="str">
        <f t="shared" si="0"/>
        <v/>
      </c>
      <c r="H13" s="10"/>
      <c r="I13" s="7" t="s">
        <v>22</v>
      </c>
      <c r="J13" s="8" t="s">
        <v>111</v>
      </c>
    </row>
    <row r="14" spans="1:10" ht="45.75" customHeight="1" x14ac:dyDescent="0.35">
      <c r="A14" s="7">
        <v>13</v>
      </c>
      <c r="B14" s="8" t="s">
        <v>112</v>
      </c>
      <c r="C14" s="7">
        <v>5</v>
      </c>
      <c r="D14" s="8" t="s">
        <v>113</v>
      </c>
      <c r="E14" s="10"/>
      <c r="F14" s="9"/>
      <c r="G14" s="7" t="str">
        <f t="shared" si="0"/>
        <v/>
      </c>
      <c r="H14" s="10"/>
      <c r="I14" s="7" t="s">
        <v>22</v>
      </c>
      <c r="J14" s="8" t="s">
        <v>114</v>
      </c>
    </row>
    <row r="15" spans="1:10" ht="45.75" customHeight="1" x14ac:dyDescent="0.35">
      <c r="A15" s="7">
        <v>14</v>
      </c>
      <c r="B15" s="8" t="s">
        <v>115</v>
      </c>
      <c r="C15" s="7" t="s">
        <v>116</v>
      </c>
      <c r="D15" s="8" t="s">
        <v>97</v>
      </c>
      <c r="E15" s="10"/>
      <c r="F15" s="9"/>
      <c r="G15" s="7" t="str">
        <f t="shared" si="0"/>
        <v/>
      </c>
      <c r="H15" s="10"/>
      <c r="I15" s="7" t="s">
        <v>61</v>
      </c>
      <c r="J15" s="8" t="s">
        <v>117</v>
      </c>
    </row>
    <row r="16" spans="1:10" ht="45.75" customHeight="1" x14ac:dyDescent="0.35">
      <c r="A16" s="7">
        <v>15</v>
      </c>
      <c r="B16" s="8" t="s">
        <v>118</v>
      </c>
      <c r="C16" s="7">
        <v>4</v>
      </c>
      <c r="D16" s="8" t="s">
        <v>89</v>
      </c>
      <c r="E16" s="10"/>
      <c r="F16" s="9"/>
      <c r="G16" s="7" t="str">
        <f t="shared" si="0"/>
        <v/>
      </c>
      <c r="H16" s="10"/>
      <c r="I16" s="7" t="s">
        <v>61</v>
      </c>
      <c r="J16" s="8" t="s">
        <v>119</v>
      </c>
    </row>
    <row r="17" spans="1:10" ht="45.75" customHeight="1" x14ac:dyDescent="0.35">
      <c r="A17" s="7">
        <v>16</v>
      </c>
      <c r="B17" s="8" t="s">
        <v>120</v>
      </c>
      <c r="C17" s="7">
        <v>1</v>
      </c>
      <c r="D17" s="8" t="s">
        <v>97</v>
      </c>
      <c r="E17" s="10"/>
      <c r="F17" s="9"/>
      <c r="G17" s="7" t="str">
        <f t="shared" si="0"/>
        <v/>
      </c>
      <c r="H17" s="10"/>
      <c r="I17" s="7" t="s">
        <v>61</v>
      </c>
      <c r="J17" s="8" t="s">
        <v>121</v>
      </c>
    </row>
    <row r="18" spans="1:10" ht="45.75" customHeight="1" x14ac:dyDescent="0.35">
      <c r="A18" s="7">
        <v>17</v>
      </c>
      <c r="B18" s="8" t="s">
        <v>122</v>
      </c>
      <c r="C18" s="7">
        <v>4</v>
      </c>
      <c r="D18" s="8" t="s">
        <v>123</v>
      </c>
      <c r="E18" s="10"/>
      <c r="F18" s="9"/>
      <c r="G18" s="7" t="str">
        <f t="shared" si="0"/>
        <v/>
      </c>
      <c r="H18" s="10"/>
      <c r="I18" s="7" t="s">
        <v>61</v>
      </c>
      <c r="J18" s="8" t="s">
        <v>124</v>
      </c>
    </row>
    <row r="19" spans="1:10" ht="45.75" customHeight="1" x14ac:dyDescent="0.35">
      <c r="A19" s="7">
        <v>18</v>
      </c>
      <c r="B19" s="8" t="s">
        <v>125</v>
      </c>
      <c r="C19" s="7">
        <v>1</v>
      </c>
      <c r="D19" s="8" t="s">
        <v>97</v>
      </c>
      <c r="E19" s="10"/>
      <c r="F19" s="9"/>
      <c r="G19" s="7" t="str">
        <f t="shared" si="0"/>
        <v/>
      </c>
      <c r="H19" s="10"/>
      <c r="I19" s="7" t="s">
        <v>61</v>
      </c>
      <c r="J19" s="8" t="s">
        <v>126</v>
      </c>
    </row>
    <row r="20" spans="1:10" ht="45.75" customHeight="1" x14ac:dyDescent="0.35">
      <c r="A20" s="7">
        <v>19</v>
      </c>
      <c r="B20" s="8" t="s">
        <v>127</v>
      </c>
      <c r="C20" s="7">
        <v>1</v>
      </c>
      <c r="D20" s="8" t="s">
        <v>128</v>
      </c>
      <c r="E20" s="10"/>
      <c r="F20" s="9"/>
      <c r="G20" s="7" t="str">
        <f t="shared" si="0"/>
        <v/>
      </c>
      <c r="H20" s="10"/>
      <c r="I20" s="7" t="s">
        <v>61</v>
      </c>
      <c r="J20" s="8" t="s">
        <v>129</v>
      </c>
    </row>
    <row r="21" spans="1:10" ht="45.75" customHeight="1" x14ac:dyDescent="0.35">
      <c r="A21" s="7">
        <v>20</v>
      </c>
      <c r="B21" s="8" t="s">
        <v>130</v>
      </c>
      <c r="C21" s="7">
        <v>3</v>
      </c>
      <c r="D21" s="8" t="s">
        <v>131</v>
      </c>
      <c r="E21" s="10"/>
      <c r="F21" s="9"/>
      <c r="G21" s="7" t="str">
        <f t="shared" si="0"/>
        <v/>
      </c>
      <c r="H21" s="10"/>
      <c r="I21" s="7" t="s">
        <v>61</v>
      </c>
      <c r="J21" s="8" t="s">
        <v>132</v>
      </c>
    </row>
    <row r="22" spans="1:10" ht="45.75" customHeight="1" x14ac:dyDescent="0.35">
      <c r="A22" s="7">
        <v>21</v>
      </c>
      <c r="B22" s="8" t="s">
        <v>133</v>
      </c>
      <c r="C22" s="7">
        <v>5</v>
      </c>
      <c r="D22" s="8" t="s">
        <v>83</v>
      </c>
      <c r="E22" s="10"/>
      <c r="F22" s="9"/>
      <c r="G22" s="7" t="str">
        <f t="shared" si="0"/>
        <v/>
      </c>
      <c r="H22" s="10"/>
      <c r="I22" s="7" t="s">
        <v>61</v>
      </c>
      <c r="J22" s="8" t="s">
        <v>134</v>
      </c>
    </row>
    <row r="23" spans="1:10" ht="45.75" customHeight="1" x14ac:dyDescent="0.35">
      <c r="A23" s="7">
        <v>22</v>
      </c>
      <c r="B23" s="8" t="s">
        <v>135</v>
      </c>
      <c r="C23" s="7">
        <v>1</v>
      </c>
      <c r="D23" s="8" t="s">
        <v>136</v>
      </c>
      <c r="E23" s="10"/>
      <c r="F23" s="9"/>
      <c r="G23" s="7" t="str">
        <f t="shared" si="0"/>
        <v/>
      </c>
      <c r="H23" s="10"/>
      <c r="I23" s="7" t="s">
        <v>61</v>
      </c>
      <c r="J23" s="8" t="s">
        <v>137</v>
      </c>
    </row>
    <row r="24" spans="1:10" ht="45.75" customHeight="1" x14ac:dyDescent="0.35">
      <c r="A24" s="7">
        <v>23</v>
      </c>
      <c r="B24" s="8" t="s">
        <v>138</v>
      </c>
      <c r="C24" s="7">
        <v>1</v>
      </c>
      <c r="D24" s="8" t="s">
        <v>97</v>
      </c>
      <c r="E24" s="10"/>
      <c r="F24" s="9"/>
      <c r="G24" s="7" t="str">
        <f t="shared" si="0"/>
        <v/>
      </c>
      <c r="H24" s="10"/>
      <c r="I24" s="7" t="s">
        <v>22</v>
      </c>
      <c r="J24" s="8" t="s">
        <v>139</v>
      </c>
    </row>
    <row r="25" spans="1:10" ht="45.75" customHeight="1" x14ac:dyDescent="0.35">
      <c r="A25" s="7">
        <v>24</v>
      </c>
      <c r="B25" s="8" t="s">
        <v>140</v>
      </c>
      <c r="C25" s="7">
        <v>5</v>
      </c>
      <c r="D25" s="8" t="s">
        <v>141</v>
      </c>
      <c r="E25" s="10"/>
      <c r="F25" s="9"/>
      <c r="G25" s="7" t="str">
        <f t="shared" si="0"/>
        <v/>
      </c>
      <c r="H25" s="10"/>
      <c r="I25" s="7" t="s">
        <v>22</v>
      </c>
      <c r="J25" s="8" t="s">
        <v>142</v>
      </c>
    </row>
    <row r="26" spans="1:10" ht="45.75" customHeight="1" x14ac:dyDescent="0.35">
      <c r="A26" s="7">
        <v>25</v>
      </c>
      <c r="B26" s="8" t="s">
        <v>143</v>
      </c>
      <c r="C26" s="7">
        <v>1</v>
      </c>
      <c r="D26" s="8" t="s">
        <v>97</v>
      </c>
      <c r="E26" s="10"/>
      <c r="F26" s="9"/>
      <c r="G26" s="7" t="str">
        <f t="shared" si="0"/>
        <v/>
      </c>
      <c r="H26" s="10"/>
      <c r="I26" s="7" t="s">
        <v>22</v>
      </c>
      <c r="J26" s="8" t="s">
        <v>144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showGridLines="0" zoomScaleNormal="100" workbookViewId="0">
      <selection activeCell="A11" sqref="A11"/>
    </sheetView>
  </sheetViews>
  <sheetFormatPr defaultColWidth="8.6328125" defaultRowHeight="14.5" x14ac:dyDescent="0.35"/>
  <cols>
    <col min="1" max="1" width="42" customWidth="1"/>
    <col min="2" max="2" width="18" customWidth="1"/>
    <col min="3" max="3" width="55" customWidth="1"/>
  </cols>
  <sheetData>
    <row r="1" spans="1:3" ht="16.5" x14ac:dyDescent="0.35">
      <c r="A1" s="11" t="s">
        <v>145</v>
      </c>
    </row>
    <row r="2" spans="1:3" x14ac:dyDescent="0.35">
      <c r="A2" s="12" t="s">
        <v>146</v>
      </c>
    </row>
    <row r="5" spans="1:3" x14ac:dyDescent="0.35">
      <c r="A5" s="13" t="s">
        <v>147</v>
      </c>
      <c r="B5" s="14"/>
      <c r="C5" s="14"/>
    </row>
    <row r="6" spans="1:3" x14ac:dyDescent="0.35">
      <c r="A6" s="15" t="s">
        <v>148</v>
      </c>
      <c r="B6" s="16">
        <f>COUNTA(Test_ChuanHoa!B2:B21)</f>
        <v>20</v>
      </c>
      <c r="C6" s="12"/>
    </row>
    <row r="7" spans="1:3" x14ac:dyDescent="0.35">
      <c r="A7" s="15" t="s">
        <v>149</v>
      </c>
      <c r="B7" s="16">
        <f>COUNTA(Test_ChuanHoa!D2:D21)</f>
        <v>0</v>
      </c>
      <c r="C7" s="12"/>
    </row>
    <row r="8" spans="1:3" x14ac:dyDescent="0.35">
      <c r="A8" s="15" t="s">
        <v>150</v>
      </c>
      <c r="B8" s="16">
        <f>COUNTIF(Test_ChuanHoa!E2:E21,"Đúng")</f>
        <v>0</v>
      </c>
      <c r="C8" s="12"/>
    </row>
    <row r="9" spans="1:3" x14ac:dyDescent="0.35">
      <c r="A9" s="15" t="s">
        <v>151</v>
      </c>
      <c r="B9" s="17" t="str">
        <f>IFERROR(COUNTIF(Test_ChuanHoa!E2:E21,"Đúng")/COUNTA(Test_ChuanHoa!D2:D21),"")</f>
        <v/>
      </c>
      <c r="C9" s="12" t="s">
        <v>152</v>
      </c>
    </row>
    <row r="10" spans="1:3" x14ac:dyDescent="0.35">
      <c r="A10" s="15" t="s">
        <v>153</v>
      </c>
      <c r="B10" s="16">
        <f>COUNTIFS(Test_ChuanHoa!F2:F21,"Biên/Rủi ro",Test_ChuanHoa!E2:E21,"Đúng")</f>
        <v>0</v>
      </c>
      <c r="C10" s="12"/>
    </row>
    <row r="11" spans="1:3" x14ac:dyDescent="0.35">
      <c r="A11" s="15" t="s">
        <v>154</v>
      </c>
      <c r="B11" s="16">
        <f>COUNTIF(Test_ChuanHoa!F2:F21,"Biên/Rủi ro")</f>
        <v>5</v>
      </c>
      <c r="C11" s="12"/>
    </row>
    <row r="13" spans="1:3" x14ac:dyDescent="0.35">
      <c r="A13" s="13" t="s">
        <v>155</v>
      </c>
      <c r="B13" s="14"/>
      <c r="C13" s="14"/>
    </row>
    <row r="14" spans="1:3" x14ac:dyDescent="0.35">
      <c r="A14" s="15" t="s">
        <v>148</v>
      </c>
      <c r="B14" s="16">
        <f>COUNTA(Test_PhanLoai!B2:B26)</f>
        <v>25</v>
      </c>
      <c r="C14" s="12"/>
    </row>
    <row r="15" spans="1:3" x14ac:dyDescent="0.35">
      <c r="A15" s="15" t="s">
        <v>156</v>
      </c>
      <c r="B15" s="16">
        <f>COUNTA(Test_PhanLoai!E2:E26)</f>
        <v>0</v>
      </c>
      <c r="C15" s="12"/>
    </row>
    <row r="16" spans="1:3" x14ac:dyDescent="0.35">
      <c r="A16" s="15" t="s">
        <v>157</v>
      </c>
      <c r="B16" s="16">
        <f>COUNTIF(Test_PhanLoai!G2:G26,"Đúng")</f>
        <v>0</v>
      </c>
      <c r="C16" s="12"/>
    </row>
    <row r="17" spans="1:3" x14ac:dyDescent="0.35">
      <c r="A17" s="15" t="s">
        <v>158</v>
      </c>
      <c r="B17" s="17" t="str">
        <f>IFERROR(COUNTIF(Test_PhanLoai!G2:G26,"Đúng")/COUNTA(Test_PhanLoai!E2:E26),"")</f>
        <v/>
      </c>
      <c r="C17" s="12" t="s">
        <v>152</v>
      </c>
    </row>
    <row r="18" spans="1:3" x14ac:dyDescent="0.35">
      <c r="A18" s="15" t="s">
        <v>159</v>
      </c>
      <c r="B18" s="16">
        <f>COUNTIF(Test_PhanLoai!H2:H26,"Đúng")</f>
        <v>0</v>
      </c>
      <c r="C18" s="12"/>
    </row>
    <row r="19" spans="1:3" x14ac:dyDescent="0.35">
      <c r="A19" s="15" t="s">
        <v>160</v>
      </c>
      <c r="B19" s="17" t="str">
        <f>IFERROR(COUNTIF(Test_PhanLoai!H2:H26,"Đúng")/COUNTA(Test_PhanLoai!F2:F26),"")</f>
        <v/>
      </c>
      <c r="C19" s="12" t="s">
        <v>161</v>
      </c>
    </row>
    <row r="20" spans="1:3" x14ac:dyDescent="0.35">
      <c r="A20" s="15" t="s">
        <v>162</v>
      </c>
      <c r="B20" s="16">
        <f>COUNTIFS(Test_PhanLoai!I2:I26,"Biên/Rủi ro",Test_PhanLoai!G2:G26,"Đúng")</f>
        <v>0</v>
      </c>
      <c r="C20" s="12"/>
    </row>
    <row r="21" spans="1:3" x14ac:dyDescent="0.35">
      <c r="A21" s="15" t="s">
        <v>154</v>
      </c>
      <c r="B21" s="16">
        <f>COUNTIF(Test_PhanLoai!I2:I26,"Biên/Rủi ro")</f>
        <v>9</v>
      </c>
      <c r="C21" s="12"/>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Huong_Dan</vt:lpstr>
      <vt:lpstr>Test_ChuanHoa</vt:lpstr>
      <vt:lpstr>Test_PhanLoai</vt:lpstr>
      <vt:lpstr>Tong_Hop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0</cp:revision>
  <dcterms:created xsi:type="dcterms:W3CDTF">2026-08-08T06:43:40Z</dcterms:created>
  <dcterms:modified xsi:type="dcterms:W3CDTF">2026-08-08T07:27:04Z</dcterms:modified>
  <dc:language>en-US</dc:language>
</cp:coreProperties>
</file>